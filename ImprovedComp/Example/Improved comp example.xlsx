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luevue-my.sharepoint.com/personal/zoe_valuevuellc_com/Documents/ValueVue Appraisal/Operations/AI/Improved Comps/"/>
    </mc:Choice>
  </mc:AlternateContent>
  <xr:revisionPtr revIDLastSave="0" documentId="8_{628AC95A-91C3-4C36-B7A4-64883A897F0A}" xr6:coauthVersionLast="47" xr6:coauthVersionMax="47" xr10:uidLastSave="{00000000-0000-0000-0000-000000000000}"/>
  <bookViews>
    <workbookView xWindow="34440" yWindow="1275" windowWidth="38640" windowHeight="21120" xr2:uid="{03B1E432-8EE2-4DF5-B7D2-DF9A3BE461CB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24" i="1"/>
  <c r="C19" i="1"/>
  <c r="C12" i="1"/>
  <c r="C23" i="1" s="1"/>
  <c r="C10" i="1"/>
</calcChain>
</file>

<file path=xl/sharedStrings.xml><?xml version="1.0" encoding="utf-8"?>
<sst xmlns="http://schemas.openxmlformats.org/spreadsheetml/2006/main" count="54" uniqueCount="53">
  <si>
    <t>Comparable Sale</t>
  </si>
  <si>
    <t>Sale No. 1</t>
  </si>
  <si>
    <t>Property Type</t>
  </si>
  <si>
    <t>Restaurant and Bar</t>
  </si>
  <si>
    <t>CAD ID:</t>
  </si>
  <si>
    <t>00210137</t>
  </si>
  <si>
    <t xml:space="preserve">Street Address: </t>
  </si>
  <si>
    <t>444 Keller Parkway</t>
  </si>
  <si>
    <t xml:space="preserve">City: </t>
  </si>
  <si>
    <t>Keller</t>
  </si>
  <si>
    <t>State:</t>
  </si>
  <si>
    <t>Texas</t>
  </si>
  <si>
    <r>
      <t>County:</t>
    </r>
    <r>
      <rPr>
        <sz val="9"/>
        <rFont val="Aptos Narrow"/>
        <family val="2"/>
        <scheme val="minor"/>
      </rPr>
      <t xml:space="preserve"> </t>
    </r>
  </si>
  <si>
    <t>Tarrant</t>
  </si>
  <si>
    <r>
      <t>Land Size (SF):</t>
    </r>
    <r>
      <rPr>
        <sz val="9"/>
        <rFont val="Aptos Narrow"/>
        <family val="2"/>
        <scheme val="minor"/>
      </rPr>
      <t xml:space="preserve"> </t>
    </r>
  </si>
  <si>
    <r>
      <t>Land Size (Acres):</t>
    </r>
    <r>
      <rPr>
        <sz val="9"/>
        <rFont val="Aptos Narrow"/>
        <family val="2"/>
        <scheme val="minor"/>
      </rPr>
      <t xml:space="preserve"> </t>
    </r>
  </si>
  <si>
    <t xml:space="preserve">Gross Building Area (SF): </t>
  </si>
  <si>
    <t>Net Rentable Area (SF)</t>
  </si>
  <si>
    <t>Rentable Unit Number</t>
  </si>
  <si>
    <t>Average Unit Size</t>
  </si>
  <si>
    <t>Unit Mix</t>
  </si>
  <si>
    <t>Project Amenities</t>
  </si>
  <si>
    <t>Unit Amenities</t>
  </si>
  <si>
    <t>Finish-out Percentage</t>
  </si>
  <si>
    <t>Land to Building Ratio:</t>
  </si>
  <si>
    <t>Year Built/ Renovated</t>
  </si>
  <si>
    <r>
      <t>Date of Sale:</t>
    </r>
    <r>
      <rPr>
        <sz val="9"/>
        <rFont val="Aptos Narrow"/>
        <family val="2"/>
        <scheme val="minor"/>
      </rPr>
      <t xml:space="preserve"> </t>
    </r>
  </si>
  <si>
    <r>
      <t>Sales Price:</t>
    </r>
    <r>
      <rPr>
        <sz val="9"/>
        <rFont val="Aptos Narrow"/>
        <family val="2"/>
        <scheme val="minor"/>
      </rPr>
      <t xml:space="preserve"> </t>
    </r>
  </si>
  <si>
    <r>
      <t>Unit Price ($/Net SF):</t>
    </r>
    <r>
      <rPr>
        <sz val="9"/>
        <rFont val="Aptos Narrow"/>
        <family val="2"/>
        <scheme val="minor"/>
      </rPr>
      <t xml:space="preserve"> </t>
    </r>
  </si>
  <si>
    <r>
      <t>Unit Price ($/Gross SF):</t>
    </r>
    <r>
      <rPr>
        <sz val="9"/>
        <rFont val="Aptos Narrow"/>
        <family val="2"/>
        <scheme val="minor"/>
      </rPr>
      <t xml:space="preserve"> </t>
    </r>
  </si>
  <si>
    <t>Unit Price ($/Unit)</t>
  </si>
  <si>
    <t xml:space="preserve">Cap Rate: </t>
  </si>
  <si>
    <t>NOI ($/Net SF)</t>
  </si>
  <si>
    <t>NOI ($/Unit)</t>
  </si>
  <si>
    <t>Occupancy Rate at Time of Sale:</t>
  </si>
  <si>
    <r>
      <t>Data Source:</t>
    </r>
    <r>
      <rPr>
        <sz val="9"/>
        <rFont val="Aptos Narrow"/>
        <family val="2"/>
        <scheme val="minor"/>
      </rPr>
      <t xml:space="preserve"> </t>
    </r>
  </si>
  <si>
    <t xml:space="preserve">North Texas MLS 20882100    </t>
  </si>
  <si>
    <r>
      <t>Recorded  Number:</t>
    </r>
    <r>
      <rPr>
        <sz val="9"/>
        <rFont val="Aptos Narrow"/>
        <family val="2"/>
        <scheme val="minor"/>
      </rPr>
      <t xml:space="preserve"> </t>
    </r>
  </si>
  <si>
    <t>Not available yet</t>
  </si>
  <si>
    <r>
      <t>Grantor:</t>
    </r>
    <r>
      <rPr>
        <sz val="9"/>
        <rFont val="Aptos Narrow"/>
        <family val="2"/>
        <scheme val="minor"/>
      </rPr>
      <t xml:space="preserve"> </t>
    </r>
  </si>
  <si>
    <t>MANNY AND PAM LLC</t>
  </si>
  <si>
    <t>Grantee:</t>
  </si>
  <si>
    <r>
      <t>Terms and Conditions:</t>
    </r>
    <r>
      <rPr>
        <sz val="9"/>
        <rFont val="Aptos Narrow"/>
        <family val="2"/>
        <scheme val="minor"/>
      </rPr>
      <t xml:space="preserve"> </t>
    </r>
  </si>
  <si>
    <t>Cash or conventional financing</t>
  </si>
  <si>
    <t>Time on Market:</t>
  </si>
  <si>
    <t>Property Rights Conveyed:</t>
  </si>
  <si>
    <t>Fee Simple</t>
  </si>
  <si>
    <t>Transactional Status</t>
  </si>
  <si>
    <t>Sold</t>
  </si>
  <si>
    <t>Original Listing Price:</t>
  </si>
  <si>
    <t>Sale-to-List Ratio:</t>
  </si>
  <si>
    <t>Additional Comments:</t>
  </si>
  <si>
    <t>This was a Restaurant and Bar at time of sale. Recent renovations include parking lot, roof, HVAC, plumbing and electric. This property has an outdoor deck area.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</si>
</sst>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&quot;$&quot;#,##0"/>
    <numFmt numFmtId="166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0"/>
      <name val="Aptos Narrow"/>
      <family val="2"/>
      <scheme val="minor"/>
    </font>
    <font>
      <b/>
      <sz val="9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4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5" fillId="0" borderId="0" xfId="2" quotePrefix="1" applyFont="1" applyAlignment="1">
      <alignment horizontal="left" vertical="center" wrapText="1"/>
    </xf>
    <xf numFmtId="0" fontId="5" fillId="0" borderId="0" xfId="2" applyFont="1" applyAlignment="1">
      <alignment horizontal="left" vertical="center"/>
    </xf>
    <xf numFmtId="1" fontId="5" fillId="0" borderId="0" xfId="2" applyNumberFormat="1" applyFont="1" applyAlignment="1">
      <alignment horizontal="left" vertical="center" wrapText="1"/>
    </xf>
    <xf numFmtId="164" fontId="5" fillId="0" borderId="0" xfId="2" applyNumberFormat="1" applyFont="1" applyAlignment="1">
      <alignment horizontal="left" vertical="center"/>
    </xf>
    <xf numFmtId="1" fontId="5" fillId="0" borderId="0" xfId="2" applyNumberFormat="1" applyFont="1" applyAlignment="1">
      <alignment horizontal="left" vertical="center"/>
    </xf>
    <xf numFmtId="9" fontId="5" fillId="0" borderId="0" xfId="1" applyFont="1" applyBorder="1" applyAlignment="1">
      <alignment horizontal="left" vertical="center"/>
    </xf>
    <xf numFmtId="2" fontId="5" fillId="0" borderId="0" xfId="2" applyNumberFormat="1" applyFont="1" applyAlignment="1">
      <alignment horizontal="left" vertical="center"/>
    </xf>
    <xf numFmtId="14" fontId="5" fillId="0" borderId="0" xfId="2" applyNumberFormat="1" applyFont="1" applyAlignment="1">
      <alignment horizontal="left" vertical="center" wrapText="1"/>
    </xf>
    <xf numFmtId="165" fontId="5" fillId="0" borderId="0" xfId="2" applyNumberFormat="1" applyFont="1" applyAlignment="1">
      <alignment horizontal="left" vertical="center" wrapText="1"/>
    </xf>
    <xf numFmtId="166" fontId="5" fillId="0" borderId="0" xfId="3" applyNumberFormat="1" applyFont="1" applyFill="1" applyBorder="1" applyAlignment="1">
      <alignment horizontal="left" vertical="center"/>
    </xf>
    <xf numFmtId="10" fontId="5" fillId="0" borderId="0" xfId="1" applyNumberFormat="1" applyFont="1" applyBorder="1" applyAlignment="1">
      <alignment horizontal="left" vertical="center" wrapText="1"/>
    </xf>
    <xf numFmtId="166" fontId="5" fillId="0" borderId="0" xfId="1" applyNumberFormat="1" applyFont="1" applyFill="1" applyBorder="1" applyAlignment="1">
      <alignment horizontal="left" vertical="center"/>
    </xf>
    <xf numFmtId="9" fontId="5" fillId="0" borderId="0" xfId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9" fontId="5" fillId="0" borderId="0" xfId="4" applyFont="1" applyFill="1" applyBorder="1" applyAlignment="1">
      <alignment horizontal="left" vertical="center"/>
    </xf>
    <xf numFmtId="0" fontId="4" fillId="0" borderId="1" xfId="2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2" borderId="0" xfId="2" applyFont="1" applyFill="1" applyAlignment="1">
      <alignment horizontal="left" vertical="center"/>
    </xf>
  </cellXfs>
  <cellStyles count="5">
    <cellStyle name="Currency 3" xfId="3" xr:uid="{E5150C93-7D53-4E32-AF2D-C66AC36D352E}"/>
    <cellStyle name="Normal" xfId="0" builtinId="0"/>
    <cellStyle name="Normal 4" xfId="2" xr:uid="{08FD646F-E683-4EC9-BCFB-13F543DC1D21}"/>
    <cellStyle name="Percent" xfId="1" builtinId="5"/>
    <cellStyle name="Percent 3" xfId="4" xr:uid="{CF756346-1A60-413E-81BC-BD3DD5ED0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11DF-8129-4437-AB27-B4878BE1ABAD}">
  <dimension ref="B2:C40"/>
  <sheetViews>
    <sheetView tabSelected="1" workbookViewId="0">
      <selection activeCell="A38" sqref="A38:XFD38"/>
    </sheetView>
  </sheetViews>
  <sheetFormatPr defaultRowHeight="14.5" x14ac:dyDescent="0.35"/>
  <cols>
    <col min="2" max="2" width="25.08984375" customWidth="1"/>
    <col min="3" max="3" width="24.7265625" customWidth="1"/>
  </cols>
  <sheetData>
    <row r="2" spans="2:3" x14ac:dyDescent="0.35">
      <c r="B2" s="23" t="s">
        <v>0</v>
      </c>
      <c r="C2" s="23" t="s">
        <v>1</v>
      </c>
    </row>
    <row r="3" spans="2:3" ht="24" x14ac:dyDescent="0.35">
      <c r="B3" s="1" t="s">
        <v>2</v>
      </c>
      <c r="C3" s="2" t="s">
        <v>3</v>
      </c>
    </row>
    <row r="4" spans="2:3" x14ac:dyDescent="0.35">
      <c r="B4" s="3" t="s">
        <v>4</v>
      </c>
      <c r="C4" s="4" t="s">
        <v>5</v>
      </c>
    </row>
    <row r="5" spans="2:3" ht="24" x14ac:dyDescent="0.35">
      <c r="B5" s="3" t="s">
        <v>6</v>
      </c>
      <c r="C5" s="2" t="s">
        <v>7</v>
      </c>
    </row>
    <row r="6" spans="2:3" x14ac:dyDescent="0.35">
      <c r="B6" s="3" t="s">
        <v>8</v>
      </c>
      <c r="C6" s="2" t="s">
        <v>9</v>
      </c>
    </row>
    <row r="7" spans="2:3" x14ac:dyDescent="0.35">
      <c r="B7" s="3" t="s">
        <v>10</v>
      </c>
      <c r="C7" s="2" t="s">
        <v>11</v>
      </c>
    </row>
    <row r="8" spans="2:3" x14ac:dyDescent="0.35">
      <c r="B8" s="3" t="s">
        <v>12</v>
      </c>
      <c r="C8" s="5" t="s">
        <v>13</v>
      </c>
    </row>
    <row r="9" spans="2:3" x14ac:dyDescent="0.35">
      <c r="B9" s="3" t="s">
        <v>14</v>
      </c>
      <c r="C9" s="6">
        <v>18000</v>
      </c>
    </row>
    <row r="10" spans="2:3" ht="24" x14ac:dyDescent="0.35">
      <c r="B10" s="3" t="s">
        <v>15</v>
      </c>
      <c r="C10" s="7">
        <f>ROUND(C9/43560,3)</f>
        <v>0.41299999999999998</v>
      </c>
    </row>
    <row r="11" spans="2:3" x14ac:dyDescent="0.35">
      <c r="B11" s="3" t="s">
        <v>16</v>
      </c>
      <c r="C11" s="8">
        <v>2500</v>
      </c>
    </row>
    <row r="12" spans="2:3" x14ac:dyDescent="0.35">
      <c r="B12" s="3" t="s">
        <v>17</v>
      </c>
      <c r="C12" s="8">
        <f>C11</f>
        <v>2500</v>
      </c>
    </row>
    <row r="13" spans="2:3" x14ac:dyDescent="0.35">
      <c r="B13" s="3" t="s">
        <v>18</v>
      </c>
      <c r="C13" s="8"/>
    </row>
    <row r="14" spans="2:3" ht="24" x14ac:dyDescent="0.35">
      <c r="B14" s="3" t="s">
        <v>19</v>
      </c>
      <c r="C14" s="8"/>
    </row>
    <row r="15" spans="2:3" x14ac:dyDescent="0.35">
      <c r="B15" s="3" t="s">
        <v>20</v>
      </c>
      <c r="C15" s="8"/>
    </row>
    <row r="16" spans="2:3" x14ac:dyDescent="0.35">
      <c r="B16" s="3" t="s">
        <v>21</v>
      </c>
      <c r="C16" s="8"/>
    </row>
    <row r="17" spans="2:3" x14ac:dyDescent="0.35">
      <c r="B17" s="3" t="s">
        <v>22</v>
      </c>
      <c r="C17" s="8"/>
    </row>
    <row r="18" spans="2:3" ht="24" x14ac:dyDescent="0.35">
      <c r="B18" s="3" t="s">
        <v>23</v>
      </c>
      <c r="C18" s="9">
        <v>1</v>
      </c>
    </row>
    <row r="19" spans="2:3" x14ac:dyDescent="0.35">
      <c r="B19" s="3" t="s">
        <v>24</v>
      </c>
      <c r="C19" s="10">
        <f>C9/C11</f>
        <v>7.2</v>
      </c>
    </row>
    <row r="20" spans="2:3" x14ac:dyDescent="0.35">
      <c r="B20" s="3" t="s">
        <v>25</v>
      </c>
      <c r="C20" s="2">
        <v>1945</v>
      </c>
    </row>
    <row r="21" spans="2:3" x14ac:dyDescent="0.35">
      <c r="B21" s="3" t="s">
        <v>26</v>
      </c>
      <c r="C21" s="11">
        <v>46071</v>
      </c>
    </row>
    <row r="22" spans="2:3" x14ac:dyDescent="0.35">
      <c r="B22" s="3" t="s">
        <v>27</v>
      </c>
      <c r="C22" s="12">
        <v>675500</v>
      </c>
    </row>
    <row r="23" spans="2:3" x14ac:dyDescent="0.35">
      <c r="B23" s="3" t="s">
        <v>28</v>
      </c>
      <c r="C23" s="13">
        <f>C22/C12</f>
        <v>270.2</v>
      </c>
    </row>
    <row r="24" spans="2:3" x14ac:dyDescent="0.35">
      <c r="B24" s="3" t="s">
        <v>29</v>
      </c>
      <c r="C24" s="13">
        <f>C22/C11</f>
        <v>270.2</v>
      </c>
    </row>
    <row r="25" spans="2:3" x14ac:dyDescent="0.35">
      <c r="B25" s="3" t="s">
        <v>30</v>
      </c>
      <c r="C25" s="13"/>
    </row>
    <row r="26" spans="2:3" x14ac:dyDescent="0.35">
      <c r="B26" s="3" t="s">
        <v>31</v>
      </c>
      <c r="C26" s="14"/>
    </row>
    <row r="27" spans="2:3" x14ac:dyDescent="0.35">
      <c r="B27" s="3" t="s">
        <v>32</v>
      </c>
      <c r="C27" s="15"/>
    </row>
    <row r="28" spans="2:3" x14ac:dyDescent="0.35">
      <c r="B28" s="3" t="s">
        <v>33</v>
      </c>
      <c r="C28" s="14"/>
    </row>
    <row r="29" spans="2:3" x14ac:dyDescent="0.35">
      <c r="B29" s="3" t="s">
        <v>34</v>
      </c>
      <c r="C29" s="16">
        <v>1</v>
      </c>
    </row>
    <row r="30" spans="2:3" x14ac:dyDescent="0.35">
      <c r="B30" s="3" t="s">
        <v>35</v>
      </c>
      <c r="C30" s="17" t="s">
        <v>36</v>
      </c>
    </row>
    <row r="31" spans="2:3" x14ac:dyDescent="0.35">
      <c r="B31" s="3" t="s">
        <v>37</v>
      </c>
      <c r="C31" s="2" t="s">
        <v>38</v>
      </c>
    </row>
    <row r="32" spans="2:3" ht="36" x14ac:dyDescent="0.35">
      <c r="B32" s="3" t="s">
        <v>39</v>
      </c>
      <c r="C32" s="2" t="s">
        <v>40</v>
      </c>
    </row>
    <row r="33" spans="2:3" x14ac:dyDescent="0.35">
      <c r="B33" s="3" t="s">
        <v>41</v>
      </c>
      <c r="C33" s="2" t="s">
        <v>38</v>
      </c>
    </row>
    <row r="34" spans="2:3" ht="24" x14ac:dyDescent="0.35">
      <c r="B34" s="3" t="s">
        <v>42</v>
      </c>
      <c r="C34" s="5" t="s">
        <v>43</v>
      </c>
    </row>
    <row r="35" spans="2:3" x14ac:dyDescent="0.35">
      <c r="B35" s="3" t="s">
        <v>44</v>
      </c>
      <c r="C35" s="18">
        <v>310</v>
      </c>
    </row>
    <row r="36" spans="2:3" x14ac:dyDescent="0.35">
      <c r="B36" s="3" t="s">
        <v>45</v>
      </c>
      <c r="C36" s="19" t="s">
        <v>46</v>
      </c>
    </row>
    <row r="37" spans="2:3" ht="24" x14ac:dyDescent="0.35">
      <c r="B37" s="3" t="s">
        <v>47</v>
      </c>
      <c r="C37" s="20" t="s">
        <v>48</v>
      </c>
    </row>
    <row r="38" spans="2:3" x14ac:dyDescent="0.35">
      <c r="B38" s="3" t="s">
        <v>49</v>
      </c>
      <c r="C38" s="12">
        <v>1100000</v>
      </c>
    </row>
    <row r="39" spans="2:3" x14ac:dyDescent="0.35">
      <c r="B39" s="3" t="s">
        <v>50</v>
      </c>
      <c r="C39" s="20">
        <f>C22/C38</f>
        <v>0.61409090909090913</v>
      </c>
    </row>
    <row r="40" spans="2:3" x14ac:dyDescent="0.35">
      <c r="B40" s="21" t="s">
        <v>51</v>
      </c>
      <c r="C40" s="2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Zhang</dc:creator>
  <cp:lastModifiedBy>Ying Zhang</cp:lastModifiedBy>
  <dcterms:created xsi:type="dcterms:W3CDTF">2026-03-01T20:42:34Z</dcterms:created>
  <dcterms:modified xsi:type="dcterms:W3CDTF">2026-03-01T20:44:37Z</dcterms:modified>
</cp:coreProperties>
</file>