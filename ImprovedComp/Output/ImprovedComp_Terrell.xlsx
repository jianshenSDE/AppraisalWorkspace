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B1" s="1" t="inlineStr">
        <is>
          <t>Field</t>
        </is>
      </c>
      <c r="C1" s="1" t="inlineStr">
        <is>
          <t>Sale No. 1</t>
        </is>
      </c>
    </row>
    <row r="2">
      <c r="B2" s="2" t="inlineStr">
        <is>
          <t>Comparable Sale</t>
        </is>
      </c>
      <c r="C2" s="3" t="inlineStr">
        <is>
          <t>Sale No. 1</t>
        </is>
      </c>
    </row>
    <row r="3">
      <c r="B3" s="2" t="inlineStr">
        <is>
          <t>Property Type</t>
        </is>
      </c>
      <c r="C3" s="4" t="inlineStr">
        <is>
          <t>Restaurant</t>
        </is>
      </c>
    </row>
    <row r="4">
      <c r="B4" s="2" t="inlineStr">
        <is>
          <t>CAD ID</t>
        </is>
      </c>
      <c r="C4" s="3" t="inlineStr">
        <is>
          <t>31843</t>
        </is>
      </c>
    </row>
    <row r="5">
      <c r="B5" s="2" t="inlineStr">
        <is>
          <t>Street Address</t>
        </is>
      </c>
      <c r="C5" s="4" t="inlineStr">
        <is>
          <t>808 E Moore Avenue</t>
        </is>
      </c>
    </row>
    <row r="6">
      <c r="B6" s="2" t="inlineStr">
        <is>
          <t>City</t>
        </is>
      </c>
      <c r="C6" s="3" t="inlineStr">
        <is>
          <t>Terrell</t>
        </is>
      </c>
    </row>
    <row r="7">
      <c r="B7" s="2" t="inlineStr">
        <is>
          <t>State</t>
        </is>
      </c>
      <c r="C7" s="4" t="inlineStr">
        <is>
          <t>Texas</t>
        </is>
      </c>
    </row>
    <row r="8">
      <c r="B8" s="2" t="inlineStr">
        <is>
          <t>County</t>
        </is>
      </c>
      <c r="C8" s="3" t="inlineStr">
        <is>
          <t>Kaufman</t>
        </is>
      </c>
    </row>
    <row r="9">
      <c r="B9" s="2" t="inlineStr">
        <is>
          <t>Land Size (SF)</t>
        </is>
      </c>
      <c r="C9" s="4" t="n">
        <v>20778</v>
      </c>
    </row>
    <row r="10">
      <c r="B10" s="2" t="inlineStr">
        <is>
          <t>Land Size (Acres)</t>
        </is>
      </c>
      <c r="C10" s="3">
        <f>ROUND(C8/43560,3)</f>
        <v/>
      </c>
    </row>
    <row r="11">
      <c r="B11" s="2" t="inlineStr">
        <is>
          <t>Gross Building Area (SF)</t>
        </is>
      </c>
      <c r="C11" s="4" t="n">
        <v>2080</v>
      </c>
    </row>
    <row r="12">
      <c r="B12" s="2" t="inlineStr">
        <is>
          <t>Net Rentable Area (SF)</t>
        </is>
      </c>
      <c r="C12" s="3" t="n">
        <v>2080</v>
      </c>
    </row>
    <row r="13">
      <c r="B13" s="2" t="inlineStr">
        <is>
          <t>Rentable Unit Number</t>
        </is>
      </c>
      <c r="C13" s="4" t="inlineStr"/>
    </row>
    <row r="14">
      <c r="B14" s="2" t="inlineStr">
        <is>
          <t>Average Unit Size</t>
        </is>
      </c>
      <c r="C14" s="3" t="inlineStr"/>
    </row>
    <row r="15">
      <c r="B15" s="2" t="inlineStr">
        <is>
          <t>Unit Mix</t>
        </is>
      </c>
      <c r="C15" s="4" t="inlineStr"/>
    </row>
    <row r="16">
      <c r="B16" s="2" t="inlineStr">
        <is>
          <t>Project Amenities</t>
        </is>
      </c>
      <c r="C16" s="3" t="inlineStr"/>
    </row>
    <row r="17">
      <c r="B17" s="2" t="inlineStr">
        <is>
          <t>Unit Amenities</t>
        </is>
      </c>
      <c r="C17" s="4" t="inlineStr"/>
    </row>
    <row r="18">
      <c r="B18" s="2" t="inlineStr">
        <is>
          <t>Finish-out Percentage</t>
        </is>
      </c>
      <c r="C18" s="3" t="inlineStr">
        <is>
          <t>100%</t>
        </is>
      </c>
    </row>
    <row r="19">
      <c r="B19" s="2" t="inlineStr">
        <is>
          <t>Land to Building Ratio</t>
        </is>
      </c>
      <c r="C19" s="4">
        <f>C8/C10</f>
        <v/>
      </c>
    </row>
    <row r="20">
      <c r="B20" s="2" t="inlineStr">
        <is>
          <t>Year Built/ Renovated</t>
        </is>
      </c>
      <c r="C20" s="3" t="inlineStr">
        <is>
          <t>1974</t>
        </is>
      </c>
    </row>
    <row r="21">
      <c r="B21" s="2" t="inlineStr">
        <is>
          <t>Date of Sale</t>
        </is>
      </c>
      <c r="C21" s="4" t="inlineStr">
        <is>
          <t>08/02/2023</t>
        </is>
      </c>
    </row>
    <row r="22">
      <c r="B22" s="2" t="inlineStr">
        <is>
          <t>Sales Price</t>
        </is>
      </c>
      <c r="C22" s="3" t="inlineStr">
        <is>
          <t>$400,000</t>
        </is>
      </c>
    </row>
    <row r="23">
      <c r="B23" s="2" t="inlineStr">
        <is>
          <t>Unit Price ($/Net SF)</t>
        </is>
      </c>
      <c r="C23" s="4">
        <f>C21/C11</f>
        <v/>
      </c>
    </row>
    <row r="24">
      <c r="B24" s="2" t="inlineStr">
        <is>
          <t>Unit Price ($/Gross SF)</t>
        </is>
      </c>
      <c r="C24" s="3">
        <f>C21/C10</f>
        <v/>
      </c>
    </row>
    <row r="25">
      <c r="B25" s="2" t="inlineStr">
        <is>
          <t>Unit Price ($/Unit)</t>
        </is>
      </c>
      <c r="C25" s="4" t="inlineStr"/>
    </row>
    <row r="26">
      <c r="B26" s="2" t="inlineStr">
        <is>
          <t>Cap Rate</t>
        </is>
      </c>
      <c r="C26" s="3" t="inlineStr"/>
    </row>
    <row r="27">
      <c r="B27" s="2" t="inlineStr">
        <is>
          <t>NOI ($/Net SF)</t>
        </is>
      </c>
      <c r="C27" s="4" t="inlineStr"/>
    </row>
    <row r="28">
      <c r="B28" s="2" t="inlineStr">
        <is>
          <t>NOI ($/Unit)</t>
        </is>
      </c>
      <c r="C28" s="3" t="inlineStr"/>
    </row>
    <row r="29">
      <c r="B29" s="2" t="inlineStr">
        <is>
          <t>Occupancy Rate at Time of Sale</t>
        </is>
      </c>
      <c r="C29" s="4" t="inlineStr">
        <is>
          <t>100%</t>
        </is>
      </c>
    </row>
    <row r="30">
      <c r="B30" s="2" t="inlineStr">
        <is>
          <t>Data Source</t>
        </is>
      </c>
      <c r="C30" s="3" t="inlineStr">
        <is>
          <t>North Texas MLS 20294523, Kaufman CAD</t>
        </is>
      </c>
    </row>
    <row r="31">
      <c r="B31" s="2" t="inlineStr">
        <is>
          <t>Recorded  Number</t>
        </is>
      </c>
      <c r="C31" s="4" t="inlineStr">
        <is>
          <t>8178-232</t>
        </is>
      </c>
    </row>
    <row r="32">
      <c r="B32" s="2" t="inlineStr">
        <is>
          <t>Grantor</t>
        </is>
      </c>
      <c r="C32" s="3" t="inlineStr">
        <is>
          <t>Llc Vvinvest</t>
        </is>
      </c>
    </row>
    <row r="33">
      <c r="B33" s="2" t="inlineStr">
        <is>
          <t>Grantee</t>
        </is>
      </c>
      <c r="C33" s="4" t="inlineStr">
        <is>
          <t>Griselda J Mendez</t>
        </is>
      </c>
    </row>
    <row r="34">
      <c r="B34" s="2" t="inlineStr">
        <is>
          <t>Terms and Conditions</t>
        </is>
      </c>
      <c r="C34" s="3" t="inlineStr">
        <is>
          <t>Cash or conventional financing</t>
        </is>
      </c>
    </row>
    <row r="35">
      <c r="B35" s="2" t="inlineStr">
        <is>
          <t>Time on Market</t>
        </is>
      </c>
      <c r="C35" s="4" t="n">
        <v>361</v>
      </c>
    </row>
    <row r="36">
      <c r="B36" s="2" t="inlineStr">
        <is>
          <t>Property Rights Conveyed</t>
        </is>
      </c>
      <c r="C36" s="3" t="inlineStr">
        <is>
          <t>Fee Simple</t>
        </is>
      </c>
    </row>
    <row r="37">
      <c r="B37" s="2" t="inlineStr">
        <is>
          <t>Transactional Status</t>
        </is>
      </c>
      <c r="C37" s="4" t="inlineStr">
        <is>
          <t>Sold</t>
        </is>
      </c>
    </row>
    <row r="38">
      <c r="B38" s="2" t="inlineStr">
        <is>
          <t>Original Listing Price</t>
        </is>
      </c>
      <c r="C38" s="3" t="inlineStr">
        <is>
          <t>$450,000</t>
        </is>
      </c>
    </row>
    <row r="39">
      <c r="B39" s="2" t="inlineStr">
        <is>
          <t>Sale-to-List Ratio</t>
        </is>
      </c>
      <c r="C39" s="4">
        <f>C21/C37</f>
        <v/>
      </c>
    </row>
    <row r="40">
      <c r="B40" s="2" t="inlineStr">
        <is>
          <t>Additional Comments</t>
        </is>
      </c>
      <c r="C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2026-03-01T20:56:54Z</dcterms:created>
  <dcterms:modified xmlns:dcterms="http://purl.org/dc/terms/" xmlns:xsi="http://www.w3.org/2001/XMLSchema-instance" xsi:type="dcterms:W3CDTF">2026-03-01T20:56:54Z</dcterms:modified>
</cp:coreProperties>
</file>